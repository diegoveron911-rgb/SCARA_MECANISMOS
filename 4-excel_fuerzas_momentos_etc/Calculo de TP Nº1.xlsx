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eo\OneDrive\Documentos\A_Facultad\Mecanismos y Elementos\"/>
    </mc:Choice>
  </mc:AlternateContent>
  <xr:revisionPtr revIDLastSave="0" documentId="13_ncr:1_{A708E92D-0281-4F84-B97A-E2857D3D5DB8}" xr6:coauthVersionLast="47" xr6:coauthVersionMax="47" xr10:uidLastSave="{00000000-0000-0000-0000-000000000000}"/>
  <bookViews>
    <workbookView xWindow="-120" yWindow="-120" windowWidth="20730" windowHeight="11040" xr2:uid="{C90C3F62-6C94-4B2A-AAEE-4AF222BDF3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  <c r="C23" i="1"/>
  <c r="C22" i="1"/>
  <c r="B22" i="1"/>
  <c r="D24" i="1"/>
  <c r="D21" i="1"/>
  <c r="C24" i="1"/>
  <c r="B24" i="1"/>
  <c r="B21" i="1"/>
  <c r="C21" i="1"/>
  <c r="C13" i="1"/>
  <c r="B13" i="1"/>
  <c r="C18" i="1"/>
  <c r="B18" i="1"/>
  <c r="C12" i="1"/>
  <c r="C17" i="1"/>
  <c r="B12" i="1"/>
  <c r="B17" i="1"/>
</calcChain>
</file>

<file path=xl/sharedStrings.xml><?xml version="1.0" encoding="utf-8"?>
<sst xmlns="http://schemas.openxmlformats.org/spreadsheetml/2006/main" count="44" uniqueCount="22">
  <si>
    <t>Cálculo de Trabajo Práctico Número 1</t>
  </si>
  <si>
    <t>Datos problema</t>
  </si>
  <si>
    <t>A</t>
  </si>
  <si>
    <t>B</t>
  </si>
  <si>
    <t>C</t>
  </si>
  <si>
    <t>AB</t>
  </si>
  <si>
    <t>BC</t>
  </si>
  <si>
    <t>-</t>
  </si>
  <si>
    <t>Masa (kg)</t>
  </si>
  <si>
    <t>Longitud brazo (m)</t>
  </si>
  <si>
    <t>Angulo del brazo (grados)</t>
  </si>
  <si>
    <t>Velocidad Angular (ω [rad/s])</t>
  </si>
  <si>
    <t>Aceleracion angular (α [rad/s^2])</t>
  </si>
  <si>
    <t>G1</t>
  </si>
  <si>
    <t>G2</t>
  </si>
  <si>
    <t>Calculo analitico de la posicion de los centros de masa</t>
  </si>
  <si>
    <t>X</t>
  </si>
  <si>
    <t>Y</t>
  </si>
  <si>
    <t>Coordenadas de los puntos</t>
  </si>
  <si>
    <t>Aceleraciones</t>
  </si>
  <si>
    <t>Punto B</t>
  </si>
  <si>
    <t>Aceleracion relativa de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</si>
</sst>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 applyFill="1"/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/>
    <xf numFmtId="0" fontId="0" fillId="0" borderId="0" xfId="0" applyBorder="1"/>
    <xf numFmtId="0" fontId="0" fillId="5" borderId="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541771</xdr:colOff>
      <xdr:row>0</xdr:row>
      <xdr:rowOff>64262</xdr:rowOff>
    </xdr:from>
    <xdr:to>
      <xdr:col>10</xdr:col>
      <xdr:colOff>400050</xdr:colOff>
      <xdr:row>5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45535C-6209-0A33-1CAF-F2CAC64BC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57046" y="64262"/>
          <a:ext cx="2906279" cy="897763"/>
        </a:xfrm>
        <a:prstGeom prst="rect">
          <a:avLst/>
        </a:prstGeom>
      </xdr:spPr>
    </xdr:pic>
    <xdr:clientData/>
  </xdr:twoCellAnchor>
  <xdr:twoCellAnchor editAs="oneCell">
    <xdr:from>
      <xdr:col>11</xdr:col>
      <xdr:colOff>125557</xdr:colOff>
      <xdr:row>0</xdr:row>
      <xdr:rowOff>54840</xdr:rowOff>
    </xdr:from>
    <xdr:to>
      <xdr:col>17</xdr:col>
      <xdr:colOff>182761</xdr:colOff>
      <xdr:row>17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89CE00-61D4-AC39-6341-C3732CED6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50832" y="54840"/>
          <a:ext cx="4629204" cy="3250335"/>
        </a:xfrm>
        <a:prstGeom prst="rect">
          <a:avLst/>
        </a:prstGeom>
      </xdr:spPr>
    </xdr:pic>
    <xdr:clientData/>
  </xdr:twoCellAnchor>
  <xdr:twoCellAnchor editAs="oneCell">
    <xdr:from>
      <xdr:col>6</xdr:col>
      <xdr:colOff>552450</xdr:colOff>
      <xdr:row>17</xdr:row>
      <xdr:rowOff>152400</xdr:rowOff>
    </xdr:from>
    <xdr:to>
      <xdr:col>11</xdr:col>
      <xdr:colOff>638175</xdr:colOff>
      <xdr:row>24</xdr:row>
      <xdr:rowOff>152012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CBEEA4-5C9A-AD68-F52D-8EDA9DB8E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7725" y="3390900"/>
          <a:ext cx="3895725" cy="1333112"/>
        </a:xfrm>
        <a:prstGeom prst="rect">
          <a:avLst/>
        </a:prstGeom>
      </xdr:spPr>
    </xdr:pic>
    <xdr:clientData/>
  </xdr:twoCellAnchor>
  <xdr:twoCellAnchor editAs="oneCell">
    <xdr:from>
      <xdr:col>10</xdr:col>
      <xdr:colOff>333375</xdr:colOff>
      <xdr:row>25</xdr:row>
      <xdr:rowOff>28575</xdr:rowOff>
    </xdr:from>
    <xdr:to>
      <xdr:col>14</xdr:col>
      <xdr:colOff>266327</xdr:colOff>
      <xdr:row>28</xdr:row>
      <xdr:rowOff>85646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E7B6DD-8A8E-09DD-9F93-F76117A20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96650" y="4791075"/>
          <a:ext cx="2980952" cy="6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533400</xdr:colOff>
      <xdr:row>25</xdr:row>
      <xdr:rowOff>76200</xdr:rowOff>
    </xdr:from>
    <xdr:to>
      <xdr:col>10</xdr:col>
      <xdr:colOff>253403</xdr:colOff>
      <xdr:row>27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7A13BFC-0259-0AEB-763D-779CDF7D6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48675" y="4838700"/>
          <a:ext cx="2768003" cy="485775"/>
        </a:xfrm>
        <a:prstGeom prst="rect">
          <a:avLst/>
        </a:prstGeom>
      </xdr:spPr>
    </xdr:pic>
    <xdr:clientData/>
  </xdr:twoCellAnchor>
  <xdr:twoCellAnchor editAs="oneCell">
    <xdr:from>
      <xdr:col>6</xdr:col>
      <xdr:colOff>485775</xdr:colOff>
      <xdr:row>13</xdr:row>
      <xdr:rowOff>123825</xdr:rowOff>
    </xdr:from>
    <xdr:to>
      <xdr:col>10</xdr:col>
      <xdr:colOff>619569</xdr:colOff>
      <xdr:row>16</xdr:row>
      <xdr:rowOff>114378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2C849C5-F7C9-6BAA-1CD3-5DF6F2F36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20100" y="2600325"/>
          <a:ext cx="3181794" cy="5620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DB9D-D961-4E42-A31F-4CE9F7A8D5F7}">
  <dimension ref="A1:J25"/>
  <sheetViews>
    <sheetView tabSelected="1" zoomScaleNormal="100" workbookViewId="0">
      <selection activeCell="B24" sqref="B24"/>
    </sheetView>
  </sheetViews>
  <sheetFormatPr baseColWidth="10" defaultRowHeight="15" x14ac:dyDescent="0.25"/>
  <cols>
    <col min="1" max="1" width="50.5703125" bestFit="1" customWidth="1"/>
    <col min="2" max="2" width="12.7109375" customWidth="1"/>
    <col min="3" max="3" width="13.42578125" bestFit="1" customWidth="1"/>
    <col min="4" max="4" width="11.7109375" bestFit="1" customWidth="1"/>
    <col min="5" max="5" width="19.140625" bestFit="1" customWidth="1"/>
  </cols>
  <sheetData>
    <row r="1" spans="1:10" x14ac:dyDescent="0.25">
      <c r="A1" s="17" t="s">
        <v>0</v>
      </c>
      <c r="B1" s="17"/>
      <c r="C1" s="17"/>
      <c r="D1" s="17"/>
      <c r="E1" s="17"/>
      <c r="F1" s="17"/>
      <c r="G1" s="16"/>
      <c r="H1" s="16"/>
      <c r="I1" s="16"/>
      <c r="J1" s="16"/>
    </row>
    <row r="2" spans="1:10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3"/>
      <c r="I2" s="3"/>
      <c r="J2" s="3"/>
    </row>
    <row r="3" spans="1:10" x14ac:dyDescent="0.25">
      <c r="A3" s="2" t="s">
        <v>9</v>
      </c>
      <c r="B3" s="1">
        <v>0.8</v>
      </c>
      <c r="C3" s="1">
        <v>0.6</v>
      </c>
      <c r="D3" s="1" t="s">
        <v>7</v>
      </c>
      <c r="E3" s="1" t="s">
        <v>7</v>
      </c>
      <c r="F3" s="1" t="s">
        <v>7</v>
      </c>
      <c r="G3" s="3"/>
      <c r="H3" s="3"/>
      <c r="I3" s="3"/>
      <c r="J3" s="3"/>
    </row>
    <row r="4" spans="1:10" x14ac:dyDescent="0.25">
      <c r="A4" s="2" t="s">
        <v>8</v>
      </c>
      <c r="B4" s="1" t="s">
        <v>7</v>
      </c>
      <c r="C4" s="1" t="s">
        <v>7</v>
      </c>
      <c r="D4" s="1">
        <v>1</v>
      </c>
      <c r="E4" s="1">
        <v>2</v>
      </c>
      <c r="F4" s="1">
        <v>1.5</v>
      </c>
      <c r="G4" s="3"/>
      <c r="H4" s="3"/>
      <c r="I4" s="3"/>
      <c r="J4" s="3"/>
    </row>
    <row r="5" spans="1:10" x14ac:dyDescent="0.25">
      <c r="A5" s="2" t="s">
        <v>10</v>
      </c>
      <c r="B5" s="1" t="s">
        <v>7</v>
      </c>
      <c r="C5" s="1" t="s">
        <v>7</v>
      </c>
      <c r="D5" s="1" t="s">
        <v>7</v>
      </c>
      <c r="E5" s="1">
        <v>45</v>
      </c>
      <c r="F5" s="1">
        <v>60</v>
      </c>
      <c r="G5" s="3"/>
      <c r="H5" s="3"/>
      <c r="I5" s="3"/>
      <c r="J5" s="3"/>
    </row>
    <row r="6" spans="1:10" x14ac:dyDescent="0.25">
      <c r="A6" s="2" t="s">
        <v>11</v>
      </c>
      <c r="B6" s="1" t="s">
        <v>7</v>
      </c>
      <c r="C6" s="1" t="s">
        <v>7</v>
      </c>
      <c r="D6" s="1" t="s">
        <v>7</v>
      </c>
      <c r="E6" s="1">
        <v>3</v>
      </c>
      <c r="F6" s="1">
        <v>2</v>
      </c>
      <c r="G6" s="3"/>
      <c r="H6" s="3"/>
      <c r="I6" s="3"/>
      <c r="J6" s="3"/>
    </row>
    <row r="7" spans="1:10" x14ac:dyDescent="0.25">
      <c r="A7" s="2" t="s">
        <v>12</v>
      </c>
      <c r="B7" s="1" t="s">
        <v>7</v>
      </c>
      <c r="C7" s="1" t="s">
        <v>7</v>
      </c>
      <c r="D7" s="1" t="s">
        <v>7</v>
      </c>
      <c r="E7" s="1">
        <v>4</v>
      </c>
      <c r="F7" s="1">
        <v>-1</v>
      </c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14" t="s">
        <v>18</v>
      </c>
      <c r="B9" s="14"/>
      <c r="C9" s="14"/>
      <c r="D9" s="3"/>
      <c r="E9" s="11"/>
      <c r="F9" s="11"/>
      <c r="G9" s="11"/>
      <c r="H9" s="3"/>
      <c r="I9" s="3"/>
      <c r="J9" s="3"/>
    </row>
    <row r="10" spans="1:10" x14ac:dyDescent="0.25">
      <c r="A10" s="3"/>
      <c r="B10" s="1" t="s">
        <v>16</v>
      </c>
      <c r="C10" s="1" t="s">
        <v>17</v>
      </c>
      <c r="D10" s="10"/>
      <c r="E10" s="11"/>
      <c r="F10" s="11"/>
      <c r="G10" s="11"/>
      <c r="H10" s="3"/>
      <c r="I10" s="3"/>
      <c r="J10" s="3"/>
    </row>
    <row r="11" spans="1:10" x14ac:dyDescent="0.25">
      <c r="A11" s="2" t="s">
        <v>2</v>
      </c>
      <c r="B11" s="1">
        <v>0</v>
      </c>
      <c r="C11" s="1">
        <v>0</v>
      </c>
      <c r="D11" s="10"/>
      <c r="E11" s="11"/>
      <c r="F11" s="9"/>
      <c r="G11" s="12"/>
      <c r="H11" s="3"/>
      <c r="I11" s="3"/>
      <c r="J11" s="3"/>
    </row>
    <row r="12" spans="1:10" x14ac:dyDescent="0.25">
      <c r="A12" s="2" t="s">
        <v>3</v>
      </c>
      <c r="B12" s="6">
        <f>B3*COS(RADIANS(45))</f>
        <v>0.56568542494923812</v>
      </c>
      <c r="C12" s="6">
        <f>B3*SIN(RADIANS(45))</f>
        <v>0.56568542494923801</v>
      </c>
      <c r="D12" s="3"/>
      <c r="E12" s="13"/>
      <c r="F12" s="5"/>
      <c r="G12" s="5"/>
      <c r="H12" s="3"/>
      <c r="I12" s="3"/>
      <c r="J12" s="3"/>
    </row>
    <row r="13" spans="1:10" x14ac:dyDescent="0.25">
      <c r="A13" s="2" t="s">
        <v>4</v>
      </c>
      <c r="B13" s="6">
        <f>B12+C3*COS(RADIANS(105))</f>
        <v>0.41039399788772563</v>
      </c>
      <c r="C13" s="6">
        <f>C12+C3*SIN(RADIANS(105))</f>
        <v>1.145240920722679</v>
      </c>
      <c r="D13" s="3"/>
      <c r="E13" s="3"/>
      <c r="F13" s="3"/>
      <c r="G13" s="3"/>
      <c r="H13" s="3"/>
      <c r="I13" s="3"/>
      <c r="J13" s="3"/>
    </row>
    <row r="14" spans="1:10" x14ac:dyDescent="0.25">
      <c r="D14" s="3"/>
      <c r="E14" s="3"/>
      <c r="F14" s="3"/>
      <c r="G14" s="3"/>
      <c r="H14" s="3"/>
      <c r="I14" s="3"/>
      <c r="J14" s="3"/>
    </row>
    <row r="15" spans="1:10" x14ac:dyDescent="0.25">
      <c r="A15" s="7" t="s">
        <v>15</v>
      </c>
      <c r="B15" s="7"/>
      <c r="C15" s="7"/>
      <c r="D15" s="3"/>
      <c r="E15" s="3"/>
      <c r="F15" s="3"/>
      <c r="G15" s="3"/>
      <c r="H15" s="3"/>
      <c r="I15" s="3"/>
      <c r="J15" s="3"/>
    </row>
    <row r="16" spans="1:10" x14ac:dyDescent="0.25">
      <c r="A16" s="1"/>
      <c r="B16" s="8" t="s">
        <v>16</v>
      </c>
      <c r="C16" s="8" t="s">
        <v>17</v>
      </c>
      <c r="D16" s="3"/>
      <c r="E16" s="3"/>
      <c r="F16" s="3"/>
      <c r="G16" s="3"/>
      <c r="H16" s="3"/>
      <c r="I16" s="3"/>
      <c r="J16" s="3"/>
    </row>
    <row r="17" spans="1:10" x14ac:dyDescent="0.25">
      <c r="A17" s="8" t="s">
        <v>13</v>
      </c>
      <c r="B17" s="6">
        <f>(B3/2)*COS(RADIANS(45))</f>
        <v>0.28284271247461906</v>
      </c>
      <c r="C17" s="6">
        <f>B3/2*(SIN(RADIANS(45)))</f>
        <v>0.28284271247461901</v>
      </c>
      <c r="D17" s="3"/>
      <c r="E17" s="3"/>
      <c r="F17" s="3"/>
      <c r="G17" s="3"/>
      <c r="H17" s="10"/>
      <c r="I17" s="3"/>
      <c r="J17" s="3"/>
    </row>
    <row r="18" spans="1:10" x14ac:dyDescent="0.25">
      <c r="A18" s="8" t="s">
        <v>14</v>
      </c>
      <c r="B18" s="6">
        <f>B12+(C3/2*COS(RADIANS(105)))</f>
        <v>0.4880397114184819</v>
      </c>
      <c r="C18" s="6">
        <f>C12+(C3/2*SIN(RADIANS(105)))</f>
        <v>0.85546317283595852</v>
      </c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4" t="s">
        <v>19</v>
      </c>
      <c r="B20" s="3" t="s">
        <v>16</v>
      </c>
      <c r="C20" s="3" t="s">
        <v>17</v>
      </c>
      <c r="D20" s="3"/>
      <c r="E20" s="3"/>
      <c r="F20" s="3"/>
      <c r="G20" s="3"/>
      <c r="H20" s="3"/>
      <c r="I20" s="3"/>
      <c r="J20" s="3"/>
    </row>
    <row r="21" spans="1:10" x14ac:dyDescent="0.25">
      <c r="A21" s="3" t="s">
        <v>13</v>
      </c>
      <c r="B21" s="15">
        <f>(E7*(B3/2)*(-SIN(RADIANS(45))))-(POWER(E6,2)*(B3/2)*(COS(RADIANS(45))))</f>
        <v>-3.6769552621700474</v>
      </c>
      <c r="C21" s="15">
        <f>(E7*(B3/2)*(SIN(RADIANS(45))))-(POWER(E6,2)*(B3/2)*SIN(RADIANS(45)))</f>
        <v>-1.4142135623730949</v>
      </c>
      <c r="D21" s="15">
        <f>SQRT(POWER(B21,2)+POWER(C21,2))</f>
        <v>3.9395431207184419</v>
      </c>
      <c r="E21" s="3"/>
      <c r="F21" s="3"/>
      <c r="G21" s="3"/>
      <c r="H21" s="3"/>
      <c r="I21" s="3"/>
      <c r="J21" s="3"/>
    </row>
    <row r="22" spans="1:10" x14ac:dyDescent="0.25">
      <c r="A22" s="3" t="s">
        <v>20</v>
      </c>
      <c r="B22" s="15">
        <f>(E7*B3*(-SIN(RADIANS(45)))-(POWER(E6,2)*B3*COS(RADIANS(45))))</f>
        <v>-7.3539105243400948</v>
      </c>
      <c r="C22" s="15">
        <f>(E7*B3*COS(RADIANS(45))) - (POWER(E6,2)*B3*SIN(RADIANS(45)))</f>
        <v>-2.8284271247461894</v>
      </c>
      <c r="E22" s="3"/>
      <c r="F22" s="3"/>
      <c r="G22" s="3"/>
      <c r="H22" s="3"/>
      <c r="I22" s="3"/>
      <c r="J22" s="3"/>
    </row>
    <row r="23" spans="1:10" x14ac:dyDescent="0.25">
      <c r="A23" s="18" t="s">
        <v>21</v>
      </c>
      <c r="B23">
        <f>(((E7+F7)*C3/2*(-SIN(RADIANS(105))))-((POWER(E6+F6,2)*C3/2*COS(RADIANS(105)))))</f>
        <v>1.0718095946087449</v>
      </c>
      <c r="C23">
        <f>((E7+F7)*C3/2*COS(RADIANS(105)))-(POWER(E6+F6,2)*C3/2*SIN(RADIANS(45)))</f>
        <v>-5.5362379994913749</v>
      </c>
      <c r="E23" s="3"/>
      <c r="F23" s="3"/>
      <c r="G23" s="3"/>
      <c r="H23" s="3"/>
      <c r="I23" s="3"/>
      <c r="J23" s="3"/>
    </row>
    <row r="24" spans="1:10" x14ac:dyDescent="0.25">
      <c r="A24" s="3" t="s">
        <v>14</v>
      </c>
      <c r="B24" s="15">
        <f>(B21)+(((E7+F7)*(C3/2)*(-SIN(RADIANS(105)))-(POWER(E6+F6,2)*(C3/2)*(COS(RADIANS(105))))))</f>
        <v>-2.6051456675613025</v>
      </c>
      <c r="C24" s="15">
        <f>(C21)+(((E7+F7)*(C3/2)*COS(RADIANS(105))-((POWER(E6+F6,2))*(C3/2)*SIN(RADIANS(105)))))</f>
        <v>-8.8915944001333767</v>
      </c>
      <c r="D24" s="15">
        <f>SQRT(POWER(B24,2)+POWER(C24,2))</f>
        <v>9.2653782937177827</v>
      </c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3">
    <mergeCell ref="A15:C15"/>
    <mergeCell ref="A9:C9"/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Tadeo Mendelevich</dc:creator>
  <cp:lastModifiedBy>Tadeo Mendelevich</cp:lastModifiedBy>
  <dcterms:created xsi:type="dcterms:W3CDTF">2025-08-25T17:35:28Z</dcterms:created>
  <dcterms:modified xsi:type="dcterms:W3CDTF">2025-08-26T20:32:46Z</dcterms:modified>
</cp:coreProperties>
</file>