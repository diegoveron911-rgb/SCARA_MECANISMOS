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gustin\Desktop\Mecanismos 2025\"/>
    </mc:Choice>
  </mc:AlternateContent>
  <xr:revisionPtr revIDLastSave="0" documentId="8_{8D35B47C-E6DD-4070-9187-A1ADDCADE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2" r:id="rId1"/>
    <sheet name="Sheet1" sheetId="3" r:id="rId2"/>
  </sheets>
  <definedNames>
    <definedName name="_Hlk10103739" localSheetId="0">Hoja2!$A$10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  <c r="O8" i="2"/>
  <c r="N8" i="2"/>
  <c r="C46" i="2"/>
  <c r="I16" i="2"/>
  <c r="J18" i="2"/>
  <c r="I18" i="2"/>
  <c r="J16" i="2"/>
  <c r="T6" i="2"/>
  <c r="S8" i="2"/>
  <c r="S6" i="2"/>
  <c r="J8" i="2"/>
  <c r="I8" i="2"/>
  <c r="J6" i="2"/>
  <c r="C44" i="2"/>
  <c r="C43" i="2"/>
  <c r="T8" i="2" s="1"/>
  <c r="C41" i="2"/>
  <c r="C40" i="2"/>
  <c r="C31" i="2"/>
  <c r="J4" i="2"/>
  <c r="O4" i="2" s="1"/>
  <c r="I4" i="2"/>
  <c r="N4" i="2" s="1"/>
  <c r="S4" i="2" s="1"/>
  <c r="I28" i="2"/>
  <c r="J28" i="2"/>
  <c r="K28" i="2"/>
  <c r="X25" i="2"/>
  <c r="X24" i="2"/>
  <c r="X23" i="2"/>
  <c r="X22" i="2"/>
  <c r="X21" i="2"/>
  <c r="X20" i="2"/>
  <c r="I10" i="2" l="1"/>
  <c r="T4" i="2"/>
  <c r="X2" i="2"/>
  <c r="X3" i="2"/>
  <c r="X5" i="2"/>
  <c r="X6" i="2"/>
  <c r="X8" i="2"/>
  <c r="X9" i="2"/>
  <c r="X11" i="2"/>
  <c r="X12" i="2"/>
  <c r="X14" i="2"/>
  <c r="X15" i="2"/>
  <c r="X17" i="2"/>
  <c r="X18" i="2"/>
  <c r="Z23" i="2" l="1"/>
  <c r="Z25" i="2" l="1"/>
  <c r="Z24" i="2"/>
  <c r="D14" i="2" l="1"/>
  <c r="D15" i="2"/>
  <c r="C34" i="2" s="1"/>
  <c r="D13" i="2"/>
  <c r="C30" i="2" s="1"/>
  <c r="C37" i="2" l="1"/>
  <c r="C52" i="2"/>
  <c r="C50" i="2"/>
  <c r="C29" i="2"/>
  <c r="C32" i="2"/>
  <c r="C49" i="2" s="1"/>
  <c r="C33" i="2"/>
  <c r="N18" i="2" l="1"/>
  <c r="O20" i="2"/>
  <c r="O16" i="2"/>
  <c r="AA14" i="2" s="1"/>
  <c r="AA11" i="2"/>
  <c r="J20" i="2"/>
  <c r="O18" i="2"/>
  <c r="N20" i="2"/>
  <c r="O6" i="2"/>
  <c r="S18" i="2"/>
  <c r="T20" i="2"/>
  <c r="C53" i="2"/>
  <c r="C38" i="2"/>
  <c r="C47" i="2"/>
  <c r="J10" i="2" l="1"/>
  <c r="O22" i="2" s="1"/>
  <c r="K38" i="2" s="1"/>
  <c r="AA2" i="2"/>
  <c r="J22" i="2"/>
  <c r="K37" i="2" s="1"/>
  <c r="I20" i="2"/>
  <c r="I22" i="2" s="1"/>
  <c r="Z11" i="2"/>
  <c r="N6" i="2"/>
  <c r="AA5" i="2"/>
  <c r="S20" i="2"/>
  <c r="T18" i="2"/>
  <c r="N22" i="2"/>
  <c r="Z3" i="2" l="1"/>
  <c r="O10" i="2"/>
  <c r="AA6" i="2" s="1"/>
  <c r="N10" i="2"/>
  <c r="S10" i="2" s="1"/>
  <c r="J42" i="2" s="1"/>
  <c r="AA12" i="2"/>
  <c r="J37" i="2"/>
  <c r="I33" i="2"/>
  <c r="Z12" i="2"/>
  <c r="J33" i="2"/>
  <c r="J38" i="2"/>
  <c r="T16" i="2"/>
  <c r="AA17" i="2" s="1"/>
  <c r="AA8" i="2"/>
  <c r="Z2" i="2"/>
  <c r="N16" i="2"/>
  <c r="Z14" i="2" s="1"/>
  <c r="AA3" i="2"/>
  <c r="AA20" i="2"/>
  <c r="T10" i="2" l="1"/>
  <c r="K42" i="2" s="1"/>
  <c r="T22" i="2"/>
  <c r="K39" i="2" s="1"/>
  <c r="AA22" i="2" s="1"/>
  <c r="Z6" i="2"/>
  <c r="S22" i="2"/>
  <c r="K33" i="2" s="1"/>
  <c r="Z21" i="2"/>
  <c r="Z20" i="2"/>
  <c r="Z8" i="2"/>
  <c r="S16" i="2"/>
  <c r="Z17" i="2" s="1"/>
  <c r="Z5" i="2"/>
  <c r="Z15" i="2"/>
  <c r="AA21" i="2"/>
  <c r="AA15" i="2"/>
  <c r="Z9" i="2"/>
  <c r="AA9" i="2" l="1"/>
  <c r="J39" i="2"/>
  <c r="Z22" i="2" s="1"/>
  <c r="AA18" i="2"/>
  <c r="Z18" i="2"/>
</calcChain>
</file>

<file path=xl/sharedStrings.xml><?xml version="1.0" encoding="utf-8"?>
<sst xmlns="http://schemas.openxmlformats.org/spreadsheetml/2006/main" count="161" uniqueCount="98">
  <si>
    <t>i</t>
  </si>
  <si>
    <t>j</t>
  </si>
  <si>
    <t>[Kgf]</t>
  </si>
  <si>
    <t xml:space="preserve">W  </t>
  </si>
  <si>
    <t>M1</t>
  </si>
  <si>
    <t>M2</t>
  </si>
  <si>
    <t>M3</t>
  </si>
  <si>
    <t>M4</t>
  </si>
  <si>
    <t>αa</t>
  </si>
  <si>
    <t>[rad/seg2]</t>
  </si>
  <si>
    <t>[rad/seg]</t>
  </si>
  <si>
    <t>αb</t>
  </si>
  <si>
    <t xml:space="preserve">αc </t>
  </si>
  <si>
    <t>ωa</t>
  </si>
  <si>
    <t>ωb</t>
  </si>
  <si>
    <t>ωc</t>
  </si>
  <si>
    <t>δ</t>
  </si>
  <si>
    <t>[°]</t>
  </si>
  <si>
    <t>β</t>
  </si>
  <si>
    <t>θ</t>
  </si>
  <si>
    <t>[mm]</t>
  </si>
  <si>
    <t>R1</t>
  </si>
  <si>
    <t>R2</t>
  </si>
  <si>
    <t>R3</t>
  </si>
  <si>
    <t>R4</t>
  </si>
  <si>
    <t>R5</t>
  </si>
  <si>
    <t>R6</t>
  </si>
  <si>
    <t>A1</t>
  </si>
  <si>
    <t>A2</t>
  </si>
  <si>
    <t>A3</t>
  </si>
  <si>
    <t>E</t>
  </si>
  <si>
    <t>[kg]</t>
  </si>
  <si>
    <t>Seno(δ)</t>
  </si>
  <si>
    <t>Coseno(δ)</t>
  </si>
  <si>
    <t>Seno(β)</t>
  </si>
  <si>
    <t>Coseno(β)</t>
  </si>
  <si>
    <t>Seno(θ)</t>
  </si>
  <si>
    <t>Coseno(θ)</t>
  </si>
  <si>
    <t>R1x</t>
  </si>
  <si>
    <t>R1y</t>
  </si>
  <si>
    <t>R3x</t>
  </si>
  <si>
    <t>R3y</t>
  </si>
  <si>
    <t>R5x</t>
  </si>
  <si>
    <t>R5y</t>
  </si>
  <si>
    <t>Vb</t>
  </si>
  <si>
    <t>aNb</t>
  </si>
  <si>
    <t>aTb</t>
  </si>
  <si>
    <t>aB</t>
  </si>
  <si>
    <t>MAGNITUDES</t>
  </si>
  <si>
    <t>COMPONENTES</t>
  </si>
  <si>
    <t>Va</t>
  </si>
  <si>
    <t>aNa</t>
  </si>
  <si>
    <t>aTa</t>
  </si>
  <si>
    <t>aA</t>
  </si>
  <si>
    <t>PUNTO B</t>
  </si>
  <si>
    <t>PUNTO W</t>
  </si>
  <si>
    <t>Vw</t>
  </si>
  <si>
    <t>aNw</t>
  </si>
  <si>
    <t>aTw</t>
  </si>
  <si>
    <t>aW</t>
  </si>
  <si>
    <t>Vcm</t>
  </si>
  <si>
    <t>aNcm</t>
  </si>
  <si>
    <t>aTcm</t>
  </si>
  <si>
    <t>acm</t>
  </si>
  <si>
    <t>R2x</t>
  </si>
  <si>
    <t>R2y</t>
  </si>
  <si>
    <t>CM 1</t>
  </si>
  <si>
    <t>CM 2</t>
  </si>
  <si>
    <t>R4x</t>
  </si>
  <si>
    <t>R4y</t>
  </si>
  <si>
    <t>R6x</t>
  </si>
  <si>
    <t>R6y</t>
  </si>
  <si>
    <t>CM 3</t>
  </si>
  <si>
    <t>Respuestas</t>
  </si>
  <si>
    <t>J</t>
  </si>
  <si>
    <t>unid</t>
  </si>
  <si>
    <t>[mm/seg]</t>
  </si>
  <si>
    <t>[mm/seg2]</t>
  </si>
  <si>
    <t>[N]</t>
  </si>
  <si>
    <t>[Nm]</t>
  </si>
  <si>
    <t>INERCIA PROPIA DE CADA BARRA RESPECTO SU CENTRO DE MASA</t>
  </si>
  <si>
    <t>I1 [kg.m2]</t>
  </si>
  <si>
    <t>I2 [kg.m2]</t>
  </si>
  <si>
    <t>I3 [kg.m2]</t>
  </si>
  <si>
    <t>I1 [Nm]</t>
  </si>
  <si>
    <t>I2 [Nm]</t>
  </si>
  <si>
    <t>I3 [Nm]</t>
  </si>
  <si>
    <t xml:space="preserve">TORQUE APLICADO AL CENTRO DE MASA DE CADA BARRA </t>
  </si>
  <si>
    <t>FUERZA DE INERCIA APLICADA AL CENTRO DE MASA DE CADA BARRA</t>
  </si>
  <si>
    <t>Barra</t>
  </si>
  <si>
    <t>j [N]</t>
  </si>
  <si>
    <t>i [N]</t>
  </si>
  <si>
    <t>CARGAS DEBIDO A LA MASA W</t>
  </si>
  <si>
    <t>ENTRADAS</t>
  </si>
  <si>
    <t>CONVERSION A RADIANES</t>
  </si>
  <si>
    <t>PROGRAMACION DE SENOS, COSENOS Y PROYECCIONES</t>
  </si>
  <si>
    <t>PROYECCION DE VECTORES POSICION</t>
  </si>
  <si>
    <t>PUNTO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</si>
</sst>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1" fillId="0" borderId="0" xfId="0" applyFont="1"/>
    <xf numFmtId="0" fontId="1" fillId="0" borderId="0" xfId="0" applyFont="1" applyAlignment="1">
      <alignment horizontal="left" vertical="center" indent="8"/>
    </xf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8" xfId="0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2" fillId="0" borderId="1" xfId="0" applyFont="1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2" fillId="0" borderId="4" xfId="0" applyFont="1" applyBorder="1"/>
    <xf numFmtId="165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/>
    <xf numFmtId="0" fontId="3" fillId="0" borderId="1" xfId="0" applyFont="1" applyBorder="1"/>
    <xf numFmtId="0" fontId="3" fillId="0" borderId="2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7" xfId="0" applyNumberForma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2" borderId="11" xfId="0" applyFill="1" applyBorder="1"/>
    <xf numFmtId="0" fontId="0" fillId="2" borderId="14" xfId="0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164" fontId="0" fillId="2" borderId="16" xfId="0" applyNumberFormat="1" applyFill="1" applyBorder="1" applyAlignment="1">
      <alignment horizontal="center" vertical="center"/>
    </xf>
    <xf numFmtId="0" fontId="0" fillId="2" borderId="16" xfId="0" applyFill="1" applyBorder="1"/>
    <xf numFmtId="164" fontId="0" fillId="2" borderId="17" xfId="0" applyNumberForma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213756</xdr:colOff>
      <xdr:row>25</xdr:row>
      <xdr:rowOff>108858</xdr:rowOff>
    </xdr:from>
    <xdr:ext cx="1104020" cy="492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5187538" y="5193476"/>
              <a:ext cx="1104020" cy="492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AR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p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p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∗</m:t>
                        </m:r>
                        <m:sSup>
                          <m:sSupPr>
                            <m:ctrlPr>
                              <a:rPr lang="es-MX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  <m:sup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12</m:t>
                        </m:r>
                      </m:den>
                    </m:f>
                  </m:oMath>
                </m:oMathPara>
              </a14:m>
              <a:endParaRPr lang="es-AR" sz="1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5187538" y="5193476"/>
              <a:ext cx="1104020" cy="492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𝐼</a:t>
              </a:r>
              <a:r>
                <a:rPr lang="es-AR" sz="1600" b="0" i="0">
                  <a:latin typeface="Cambria Math" panose="02040503050406030204" pitchFamily="18" charset="0"/>
                </a:rPr>
                <a:t>^</a:t>
              </a:r>
              <a:r>
                <a:rPr lang="es-MX" sz="1600" b="0" i="0">
                  <a:latin typeface="Cambria Math" panose="02040503050406030204" pitchFamily="18" charset="0"/>
                </a:rPr>
                <a:t>𝑖=(𝑚_𝑖∗〖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𝐿_𝑖</a:t>
              </a:r>
              <a:r>
                <a:rPr lang="es-MX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s-MX" sz="1600" b="0" i="0">
                  <a:latin typeface="Cambria Math" panose="02040503050406030204" pitchFamily="18" charset="0"/>
                </a:rPr>
                <a:t>2)/12</a:t>
              </a:r>
              <a:endParaRPr lang="es-AR" sz="1600"/>
            </a:p>
          </xdr:txBody>
        </xdr:sp>
      </mc:Fallback>
    </mc:AlternateContent>
    <xdr:clientData/>
  </xdr:oneCellAnchor>
  <xdr:oneCellAnchor>
    <xdr:from>
      <xdr:col>6</xdr:col>
      <xdr:colOff>103562</xdr:colOff>
      <xdr:row>36</xdr:row>
      <xdr:rowOff>72095</xdr:rowOff>
    </xdr:from>
    <xdr:ext cx="1413657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5087042" y="7387295"/>
              <a:ext cx="1413657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=−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𝐶𝑀</m:t>
                        </m:r>
                      </m:sub>
                    </m:sSub>
                  </m:oMath>
                </m:oMathPara>
              </a14:m>
              <a:endParaRPr lang="es-AR" sz="16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5087042" y="7387295"/>
              <a:ext cx="1413657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𝐹_𝑖=−𝑚_𝑖∗𝑎_𝐶𝑀</a:t>
              </a:r>
              <a:endParaRPr lang="es-AR" sz="1600"/>
            </a:p>
          </xdr:txBody>
        </xdr:sp>
      </mc:Fallback>
    </mc:AlternateContent>
    <xdr:clientData/>
  </xdr:oneCellAnchor>
  <xdr:oneCellAnchor>
    <xdr:from>
      <xdr:col>6</xdr:col>
      <xdr:colOff>207471</xdr:colOff>
      <xdr:row>31</xdr:row>
      <xdr:rowOff>72788</xdr:rowOff>
    </xdr:from>
    <xdr:ext cx="1147237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5190951" y="6397388"/>
              <a:ext cx="1147237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=−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s-AR" sz="1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5190951" y="6397388"/>
              <a:ext cx="1147237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𝑀_𝑖=−𝐼_𝑖∗</a:t>
              </a:r>
              <a:r>
                <a:rPr lang="es-MX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s-AR" sz="1600"/>
            </a:p>
          </xdr:txBody>
        </xdr:sp>
      </mc:Fallback>
    </mc:AlternateContent>
    <xdr:clientData/>
  </xdr:oneCellAnchor>
  <xdr:twoCellAnchor editAs="oneCell">
    <xdr:from>
      <xdr:col>13</xdr:col>
      <xdr:colOff>0</xdr:colOff>
      <xdr:row>25</xdr:row>
      <xdr:rowOff>0</xdr:rowOff>
    </xdr:from>
    <xdr:to>
      <xdr:col>19</xdr:col>
      <xdr:colOff>446496</xdr:colOff>
      <xdr:row>63</xdr:row>
      <xdr:rowOff>6751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9183E0-E33F-19A0-52E7-B812858EC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76660" y="5029200"/>
          <a:ext cx="5201376" cy="7421011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42</xdr:row>
      <xdr:rowOff>106680</xdr:rowOff>
    </xdr:from>
    <xdr:to>
      <xdr:col>12</xdr:col>
      <xdr:colOff>4648</xdr:colOff>
      <xdr:row>73</xdr:row>
      <xdr:rowOff>118932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5F8186-3C13-0151-40F5-DD37625A4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7240" y="8503920"/>
          <a:ext cx="6001588" cy="5887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8"/>
  <sheetViews>
    <sheetView tabSelected="1" zoomScaleNormal="100" workbookViewId="0">
      <selection activeCell="D67" sqref="D67"/>
    </sheetView>
  </sheetViews>
  <sheetFormatPr defaultColWidth="11.5546875" defaultRowHeight="14.4" x14ac:dyDescent="0.3"/>
  <cols>
    <col min="3" max="3" width="14.88671875" bestFit="1" customWidth="1"/>
    <col min="4" max="4" width="22.77734375" bestFit="1" customWidth="1"/>
    <col min="11" max="11" width="12.6640625" customWidth="1"/>
    <col min="29" max="29" width="17.109375" bestFit="1" customWidth="1"/>
  </cols>
  <sheetData>
    <row r="1" spans="1:28" x14ac:dyDescent="0.3">
      <c r="A1" s="29" t="s">
        <v>93</v>
      </c>
      <c r="B1" s="30"/>
      <c r="C1" s="30"/>
      <c r="D1" s="9"/>
      <c r="G1" s="67" t="s">
        <v>54</v>
      </c>
      <c r="H1" s="66"/>
      <c r="I1" s="66"/>
      <c r="J1" s="66"/>
      <c r="K1" s="39"/>
      <c r="L1" s="66" t="s">
        <v>97</v>
      </c>
      <c r="M1" s="66"/>
      <c r="N1" s="66"/>
      <c r="O1" s="66"/>
      <c r="P1" s="39"/>
      <c r="Q1" s="66" t="s">
        <v>55</v>
      </c>
      <c r="R1" s="66"/>
      <c r="S1" s="66"/>
      <c r="T1" s="68"/>
      <c r="X1" s="63" t="s">
        <v>73</v>
      </c>
      <c r="Y1" s="64"/>
      <c r="Z1" s="8" t="s">
        <v>0</v>
      </c>
      <c r="AA1" s="8" t="s">
        <v>74</v>
      </c>
      <c r="AB1" s="9" t="s">
        <v>75</v>
      </c>
    </row>
    <row r="2" spans="1:28" ht="21" customHeight="1" x14ac:dyDescent="0.3">
      <c r="A2" s="47" t="s">
        <v>3</v>
      </c>
      <c r="B2" s="48">
        <v>0</v>
      </c>
      <c r="C2" s="48" t="s">
        <v>2</v>
      </c>
      <c r="D2" s="10"/>
      <c r="G2" s="56" t="s">
        <v>48</v>
      </c>
      <c r="H2" s="54"/>
      <c r="I2" s="54" t="s">
        <v>49</v>
      </c>
      <c r="J2" s="54"/>
      <c r="K2" s="36"/>
      <c r="L2" s="54" t="s">
        <v>48</v>
      </c>
      <c r="M2" s="54"/>
      <c r="N2" s="54" t="s">
        <v>49</v>
      </c>
      <c r="O2" s="54"/>
      <c r="P2" s="36"/>
      <c r="Q2" s="54" t="s">
        <v>48</v>
      </c>
      <c r="R2" s="54"/>
      <c r="S2" s="54" t="s">
        <v>49</v>
      </c>
      <c r="T2" s="57"/>
      <c r="X2" s="52" t="str">
        <f>G4</f>
        <v>Vb</v>
      </c>
      <c r="Y2" s="50"/>
      <c r="Z2" s="12">
        <f>I4</f>
        <v>-15588.457268119895</v>
      </c>
      <c r="AA2">
        <f>J4</f>
        <v>-9000.0000000000018</v>
      </c>
      <c r="AB2" s="3" t="s">
        <v>76</v>
      </c>
    </row>
    <row r="3" spans="1:28" ht="15.6" x14ac:dyDescent="0.3">
      <c r="A3" s="47" t="s">
        <v>4</v>
      </c>
      <c r="B3" s="48">
        <v>6</v>
      </c>
      <c r="C3" s="48" t="s">
        <v>31</v>
      </c>
      <c r="D3" s="10"/>
      <c r="G3" s="56"/>
      <c r="H3" s="54"/>
      <c r="I3" s="37" t="s">
        <v>0</v>
      </c>
      <c r="J3" s="37" t="s">
        <v>1</v>
      </c>
      <c r="K3" s="36"/>
      <c r="L3" s="54"/>
      <c r="M3" s="54"/>
      <c r="N3" s="37" t="s">
        <v>0</v>
      </c>
      <c r="O3" s="37" t="s">
        <v>1</v>
      </c>
      <c r="P3" s="36"/>
      <c r="Q3" s="54"/>
      <c r="R3" s="54"/>
      <c r="S3" s="37" t="s">
        <v>0</v>
      </c>
      <c r="T3" s="40" t="s">
        <v>1</v>
      </c>
      <c r="X3" s="52" t="str">
        <f>G10</f>
        <v>aB</v>
      </c>
      <c r="Y3" s="50"/>
      <c r="Z3">
        <f>I10</f>
        <v>295980.76211353322</v>
      </c>
      <c r="AA3">
        <f>J10</f>
        <v>-452653.71804359689</v>
      </c>
      <c r="AB3" s="3" t="s">
        <v>77</v>
      </c>
    </row>
    <row r="4" spans="1:28" ht="15.6" x14ac:dyDescent="0.3">
      <c r="A4" s="47" t="s">
        <v>5</v>
      </c>
      <c r="B4" s="48">
        <v>3.42</v>
      </c>
      <c r="C4" s="48" t="s">
        <v>31</v>
      </c>
      <c r="D4" s="10"/>
      <c r="G4" s="58" t="s">
        <v>44</v>
      </c>
      <c r="H4" s="53"/>
      <c r="I4" s="38">
        <f>B10*C38*(-1)</f>
        <v>-15588.457268119895</v>
      </c>
      <c r="J4" s="38">
        <f>B10*C37</f>
        <v>-9000.0000000000018</v>
      </c>
      <c r="K4" s="36"/>
      <c r="L4" s="53" t="s">
        <v>50</v>
      </c>
      <c r="M4" s="53"/>
      <c r="N4" s="38">
        <f>(B11*C41*(-1))+I4</f>
        <v>-16192.10028929765</v>
      </c>
      <c r="O4" s="38">
        <f>(B11*C40)+J4</f>
        <v>-8493.4833635670093</v>
      </c>
      <c r="P4" s="36"/>
      <c r="Q4" s="53" t="s">
        <v>56</v>
      </c>
      <c r="R4" s="53"/>
      <c r="S4" s="38">
        <f>(B12*C44)*(-1)+N4</f>
        <v>-10007.849033577368</v>
      </c>
      <c r="T4" s="41">
        <f>(B12*C43)+O4</f>
        <v>-7291.3866926947758</v>
      </c>
      <c r="X4" s="4"/>
      <c r="AB4" s="3"/>
    </row>
    <row r="5" spans="1:28" ht="15.6" x14ac:dyDescent="0.3">
      <c r="A5" s="47" t="s">
        <v>6</v>
      </c>
      <c r="B5" s="48">
        <v>0.85</v>
      </c>
      <c r="C5" s="48" t="s">
        <v>31</v>
      </c>
      <c r="D5" s="10"/>
      <c r="G5" s="42"/>
      <c r="H5" s="36"/>
      <c r="I5" s="37"/>
      <c r="J5" s="37"/>
      <c r="K5" s="36"/>
      <c r="L5" s="36"/>
      <c r="M5" s="36"/>
      <c r="N5" s="37"/>
      <c r="O5" s="37"/>
      <c r="P5" s="36"/>
      <c r="Q5" s="36"/>
      <c r="R5" s="36"/>
      <c r="S5" s="37"/>
      <c r="T5" s="40"/>
      <c r="X5" s="52" t="str">
        <f>L4</f>
        <v>Va</v>
      </c>
      <c r="Y5" s="50"/>
      <c r="Z5">
        <f>N4</f>
        <v>-16192.10028929765</v>
      </c>
      <c r="AA5">
        <f>O4</f>
        <v>-8493.4833635670093</v>
      </c>
      <c r="AB5" s="3" t="s">
        <v>76</v>
      </c>
    </row>
    <row r="6" spans="1:28" ht="15.6" x14ac:dyDescent="0.3">
      <c r="A6" s="47" t="s">
        <v>7</v>
      </c>
      <c r="B6" s="48">
        <v>0</v>
      </c>
      <c r="C6" s="48" t="s">
        <v>31</v>
      </c>
      <c r="D6" s="10"/>
      <c r="G6" s="58" t="s">
        <v>45</v>
      </c>
      <c r="H6" s="53"/>
      <c r="I6" s="38">
        <f>(-1)*(B10^2)*C37</f>
        <v>270000.00000000006</v>
      </c>
      <c r="J6" s="38">
        <f>(-1)*(B10^2)*C38</f>
        <v>-467653.71804359689</v>
      </c>
      <c r="K6" s="36"/>
      <c r="L6" s="53" t="s">
        <v>51</v>
      </c>
      <c r="M6" s="53"/>
      <c r="N6" s="38">
        <f>(-1)*(B11^2)*C40</f>
        <v>-997.83777377299634</v>
      </c>
      <c r="O6" s="38">
        <f>(-1)*(B11^2)*C41</f>
        <v>-1189.1767517201768</v>
      </c>
      <c r="P6" s="36"/>
      <c r="Q6" s="53" t="s">
        <v>57</v>
      </c>
      <c r="R6" s="53"/>
      <c r="S6" s="38">
        <f>(-1)*(B12^2)*C43</f>
        <v>-36062.900126166991</v>
      </c>
      <c r="T6" s="41">
        <f>(-1)*(B12^2)*C44</f>
        <v>185527.5376716085</v>
      </c>
      <c r="X6" s="52" t="str">
        <f>L10</f>
        <v>aA</v>
      </c>
      <c r="Y6" s="50"/>
      <c r="Z6">
        <f>N10</f>
        <v>295028.88700634736</v>
      </c>
      <c r="AA6">
        <f>O10</f>
        <v>-453881.46205189824</v>
      </c>
      <c r="AB6" s="3" t="s">
        <v>77</v>
      </c>
    </row>
    <row r="7" spans="1:28" ht="15.6" x14ac:dyDescent="0.3">
      <c r="A7" s="49" t="s">
        <v>8</v>
      </c>
      <c r="B7" s="48">
        <v>-50</v>
      </c>
      <c r="C7" s="48" t="s">
        <v>9</v>
      </c>
      <c r="D7" s="10"/>
      <c r="G7" s="42"/>
      <c r="H7" s="36"/>
      <c r="I7" s="37"/>
      <c r="J7" s="37"/>
      <c r="K7" s="36"/>
      <c r="L7" s="36"/>
      <c r="M7" s="36"/>
      <c r="N7" s="37"/>
      <c r="O7" s="37"/>
      <c r="P7" s="36"/>
      <c r="Q7" s="36"/>
      <c r="R7" s="36"/>
      <c r="S7" s="37"/>
      <c r="T7" s="40"/>
      <c r="X7" s="4"/>
      <c r="AB7" s="3"/>
    </row>
    <row r="8" spans="1:28" ht="15.6" x14ac:dyDescent="0.3">
      <c r="A8" s="47" t="s">
        <v>11</v>
      </c>
      <c r="B8" s="48">
        <v>-0.15</v>
      </c>
      <c r="C8" s="48" t="s">
        <v>9</v>
      </c>
      <c r="D8" s="10"/>
      <c r="G8" s="58" t="s">
        <v>46</v>
      </c>
      <c r="H8" s="53"/>
      <c r="I8" s="38">
        <f>B7*C38*(-1)</f>
        <v>25980.762113533161</v>
      </c>
      <c r="J8" s="38">
        <f>B7*C37</f>
        <v>15000.000000000004</v>
      </c>
      <c r="K8" s="36"/>
      <c r="L8" s="53" t="s">
        <v>52</v>
      </c>
      <c r="M8" s="53"/>
      <c r="N8" s="38">
        <f>B8*C41*(-1)</f>
        <v>45.962666587138685</v>
      </c>
      <c r="O8" s="38">
        <f>B8*C40</f>
        <v>-38.56725658119236</v>
      </c>
      <c r="P8" s="36"/>
      <c r="Q8" s="53" t="s">
        <v>58</v>
      </c>
      <c r="R8" s="53"/>
      <c r="S8" s="38">
        <f>B9*C44*(-1)</f>
        <v>-10307.085426200472</v>
      </c>
      <c r="T8" s="41">
        <f>B9*C43</f>
        <v>-2003.4944514537215</v>
      </c>
      <c r="X8" s="52" t="str">
        <f>Q4</f>
        <v>Vw</v>
      </c>
      <c r="Y8" s="50"/>
      <c r="Z8">
        <f>S4</f>
        <v>-10007.849033577368</v>
      </c>
      <c r="AA8">
        <f>T4</f>
        <v>-7291.3866926947758</v>
      </c>
      <c r="AB8" s="3" t="s">
        <v>76</v>
      </c>
    </row>
    <row r="9" spans="1:28" ht="15.6" x14ac:dyDescent="0.3">
      <c r="A9" s="47" t="s">
        <v>12</v>
      </c>
      <c r="B9" s="48">
        <v>-50</v>
      </c>
      <c r="C9" s="48" t="s">
        <v>9</v>
      </c>
      <c r="D9" s="10"/>
      <c r="G9" s="42"/>
      <c r="H9" s="36"/>
      <c r="I9" s="37"/>
      <c r="J9" s="37"/>
      <c r="K9" s="36"/>
      <c r="L9" s="36"/>
      <c r="M9" s="36"/>
      <c r="N9" s="37"/>
      <c r="O9" s="37"/>
      <c r="P9" s="36"/>
      <c r="Q9" s="36"/>
      <c r="R9" s="36"/>
      <c r="S9" s="37"/>
      <c r="T9" s="40"/>
      <c r="X9" s="52" t="str">
        <f>Q10</f>
        <v>aW</v>
      </c>
      <c r="Y9" s="50"/>
      <c r="Z9">
        <f>S10</f>
        <v>248658.9014539799</v>
      </c>
      <c r="AA9">
        <f>T10</f>
        <v>-270357.41883174347</v>
      </c>
      <c r="AB9" s="3" t="s">
        <v>77</v>
      </c>
    </row>
    <row r="10" spans="1:28" ht="15.6" x14ac:dyDescent="0.3">
      <c r="A10" s="47" t="s">
        <v>13</v>
      </c>
      <c r="B10" s="48">
        <v>30</v>
      </c>
      <c r="C10" s="48" t="s">
        <v>10</v>
      </c>
      <c r="D10" s="10"/>
      <c r="G10" s="58" t="s">
        <v>47</v>
      </c>
      <c r="H10" s="53"/>
      <c r="I10" s="38">
        <f>I6+I8</f>
        <v>295980.76211353322</v>
      </c>
      <c r="J10" s="38">
        <f>J6+J8</f>
        <v>-452653.71804359689</v>
      </c>
      <c r="K10" s="36"/>
      <c r="L10" s="53" t="s">
        <v>53</v>
      </c>
      <c r="M10" s="53"/>
      <c r="N10" s="38">
        <f>N6+N8+I10</f>
        <v>295028.88700634736</v>
      </c>
      <c r="O10" s="38">
        <f>O6+O8+J10</f>
        <v>-453881.46205189824</v>
      </c>
      <c r="P10" s="36"/>
      <c r="Q10" s="53" t="s">
        <v>59</v>
      </c>
      <c r="R10" s="53"/>
      <c r="S10" s="38">
        <f>S6+S8+N10</f>
        <v>248658.9014539799</v>
      </c>
      <c r="T10" s="41">
        <f>T6+T8+O10</f>
        <v>-270357.41883174347</v>
      </c>
      <c r="X10" s="4"/>
      <c r="AB10" s="3"/>
    </row>
    <row r="11" spans="1:28" ht="15.6" x14ac:dyDescent="0.3">
      <c r="A11" s="47" t="s">
        <v>14</v>
      </c>
      <c r="B11" s="48">
        <v>1.97</v>
      </c>
      <c r="C11" s="48" t="s">
        <v>10</v>
      </c>
      <c r="D11" s="10"/>
      <c r="G11" s="42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43"/>
      <c r="X11" s="52" t="str">
        <f>G16</f>
        <v>Vcm</v>
      </c>
      <c r="Y11" s="50"/>
      <c r="Z11">
        <f>I16</f>
        <v>-10392.304845413264</v>
      </c>
      <c r="AA11">
        <f>J16</f>
        <v>-6000.0000000000018</v>
      </c>
      <c r="AB11" s="3" t="s">
        <v>76</v>
      </c>
    </row>
    <row r="12" spans="1:28" ht="16.2" thickBot="1" x14ac:dyDescent="0.35">
      <c r="A12" s="47" t="s">
        <v>15</v>
      </c>
      <c r="B12" s="48">
        <v>30</v>
      </c>
      <c r="C12" s="48" t="s">
        <v>10</v>
      </c>
      <c r="D12" s="10" t="s">
        <v>94</v>
      </c>
      <c r="G12" s="42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43"/>
      <c r="X12" s="52" t="str">
        <f>G22</f>
        <v>acm</v>
      </c>
      <c r="Y12" s="50"/>
      <c r="Z12">
        <f>I22</f>
        <v>197320.50807568882</v>
      </c>
      <c r="AA12">
        <f>J22</f>
        <v>-301769.14536239789</v>
      </c>
      <c r="AB12" s="3" t="s">
        <v>77</v>
      </c>
    </row>
    <row r="13" spans="1:28" ht="15.6" x14ac:dyDescent="0.3">
      <c r="A13" s="47" t="s">
        <v>16</v>
      </c>
      <c r="B13" s="48">
        <v>60</v>
      </c>
      <c r="C13" s="48" t="s">
        <v>17</v>
      </c>
      <c r="D13" s="9">
        <f>(B13*2*PI())/360</f>
        <v>1.0471975511965976</v>
      </c>
      <c r="G13" s="61" t="s">
        <v>66</v>
      </c>
      <c r="H13" s="62"/>
      <c r="I13" s="62"/>
      <c r="J13" s="62"/>
      <c r="K13" s="36"/>
      <c r="L13" s="62" t="s">
        <v>67</v>
      </c>
      <c r="M13" s="62"/>
      <c r="N13" s="62"/>
      <c r="O13" s="62"/>
      <c r="P13" s="36"/>
      <c r="Q13" s="62" t="s">
        <v>72</v>
      </c>
      <c r="R13" s="62"/>
      <c r="S13" s="62"/>
      <c r="T13" s="65"/>
      <c r="X13" s="4"/>
      <c r="AB13" s="3"/>
    </row>
    <row r="14" spans="1:28" ht="15.6" x14ac:dyDescent="0.3">
      <c r="A14" s="47" t="s">
        <v>18</v>
      </c>
      <c r="B14" s="48">
        <v>50</v>
      </c>
      <c r="C14" s="48" t="s">
        <v>17</v>
      </c>
      <c r="D14" s="10">
        <f t="shared" ref="D14:D15" si="0">(B14*2*PI())/360</f>
        <v>0.87266462599716477</v>
      </c>
      <c r="G14" s="56" t="s">
        <v>48</v>
      </c>
      <c r="H14" s="54"/>
      <c r="I14" s="54" t="s">
        <v>49</v>
      </c>
      <c r="J14" s="54"/>
      <c r="K14" s="36"/>
      <c r="L14" s="54" t="s">
        <v>48</v>
      </c>
      <c r="M14" s="54"/>
      <c r="N14" s="54" t="s">
        <v>49</v>
      </c>
      <c r="O14" s="54"/>
      <c r="P14" s="36"/>
      <c r="Q14" s="54" t="s">
        <v>48</v>
      </c>
      <c r="R14" s="54"/>
      <c r="S14" s="54" t="s">
        <v>49</v>
      </c>
      <c r="T14" s="57"/>
      <c r="X14" s="52" t="str">
        <f>L16</f>
        <v>Vcm</v>
      </c>
      <c r="Y14" s="50"/>
      <c r="Z14">
        <f>N16</f>
        <v>-15588.457268119895</v>
      </c>
      <c r="AA14">
        <f>O16</f>
        <v>-9000.0000000000018</v>
      </c>
      <c r="AB14" s="3" t="s">
        <v>76</v>
      </c>
    </row>
    <row r="15" spans="1:28" ht="15" customHeight="1" thickBot="1" x14ac:dyDescent="0.35">
      <c r="A15" s="47" t="s">
        <v>19</v>
      </c>
      <c r="B15" s="48">
        <v>79</v>
      </c>
      <c r="C15" s="48" t="s">
        <v>17</v>
      </c>
      <c r="D15" s="28">
        <f t="shared" si="0"/>
        <v>1.3788101090755203</v>
      </c>
      <c r="G15" s="56"/>
      <c r="H15" s="54"/>
      <c r="I15" s="37" t="s">
        <v>0</v>
      </c>
      <c r="J15" s="37" t="s">
        <v>1</v>
      </c>
      <c r="K15" s="36"/>
      <c r="L15" s="54"/>
      <c r="M15" s="54"/>
      <c r="N15" s="37" t="s">
        <v>0</v>
      </c>
      <c r="O15" s="37" t="s">
        <v>1</v>
      </c>
      <c r="P15" s="36"/>
      <c r="Q15" s="54"/>
      <c r="R15" s="54"/>
      <c r="S15" s="37" t="s">
        <v>0</v>
      </c>
      <c r="T15" s="40" t="s">
        <v>1</v>
      </c>
      <c r="X15" s="52" t="str">
        <f>L22</f>
        <v>acm</v>
      </c>
      <c r="Y15" s="50"/>
      <c r="Z15">
        <f>N22</f>
        <v>295980.76211353322</v>
      </c>
      <c r="AA15">
        <f>O22</f>
        <v>-452653.71804359689</v>
      </c>
      <c r="AB15" s="3" t="s">
        <v>77</v>
      </c>
    </row>
    <row r="16" spans="1:28" ht="15.6" x14ac:dyDescent="0.3">
      <c r="A16" s="47" t="s">
        <v>21</v>
      </c>
      <c r="B16" s="48">
        <v>600</v>
      </c>
      <c r="C16" s="48" t="s">
        <v>20</v>
      </c>
      <c r="D16" s="10"/>
      <c r="G16" s="58" t="s">
        <v>60</v>
      </c>
      <c r="H16" s="53"/>
      <c r="I16" s="38">
        <f>B10*C47*(-1)</f>
        <v>-10392.304845413264</v>
      </c>
      <c r="J16" s="38">
        <f>B10*C46</f>
        <v>-6000.0000000000018</v>
      </c>
      <c r="K16" s="36"/>
      <c r="L16" s="53" t="s">
        <v>60</v>
      </c>
      <c r="M16" s="53"/>
      <c r="N16" s="38">
        <f>B11*C50*(-1)+I4</f>
        <v>-15588.457268119895</v>
      </c>
      <c r="O16" s="38">
        <f>B11*C49+J4</f>
        <v>-9000.0000000000018</v>
      </c>
      <c r="P16" s="36"/>
      <c r="Q16" s="53" t="s">
        <v>60</v>
      </c>
      <c r="R16" s="53"/>
      <c r="S16" s="38">
        <f>B10*C53*(-1)+N4</f>
        <v>-13247.218738954658</v>
      </c>
      <c r="T16" s="41">
        <f>B10*C52+O4</f>
        <v>-7921.056377437375</v>
      </c>
      <c r="X16" s="4"/>
      <c r="AB16" s="3"/>
    </row>
    <row r="17" spans="1:29" ht="15.6" x14ac:dyDescent="0.3">
      <c r="A17" s="47" t="s">
        <v>22</v>
      </c>
      <c r="B17" s="48">
        <v>400</v>
      </c>
      <c r="C17" s="48" t="s">
        <v>20</v>
      </c>
      <c r="D17" s="10"/>
      <c r="G17" s="42"/>
      <c r="H17" s="36"/>
      <c r="I17" s="37"/>
      <c r="J17" s="37"/>
      <c r="K17" s="36"/>
      <c r="L17" s="36"/>
      <c r="M17" s="36"/>
      <c r="N17" s="37"/>
      <c r="O17" s="37"/>
      <c r="P17" s="36"/>
      <c r="Q17" s="36"/>
      <c r="R17" s="36"/>
      <c r="S17" s="37"/>
      <c r="T17" s="40"/>
      <c r="X17" s="52" t="str">
        <f>Q16</f>
        <v>Vcm</v>
      </c>
      <c r="Y17" s="50"/>
      <c r="Z17">
        <f>S16</f>
        <v>-13247.218738954658</v>
      </c>
      <c r="AA17">
        <f>T16</f>
        <v>-7921.056377437375</v>
      </c>
      <c r="AB17" s="3" t="s">
        <v>76</v>
      </c>
    </row>
    <row r="18" spans="1:29" ht="15.6" x14ac:dyDescent="0.3">
      <c r="A18" s="47" t="s">
        <v>23</v>
      </c>
      <c r="B18" s="48">
        <v>210</v>
      </c>
      <c r="C18" s="48" t="s">
        <v>20</v>
      </c>
      <c r="D18" s="10"/>
      <c r="G18" s="58" t="s">
        <v>61</v>
      </c>
      <c r="H18" s="53"/>
      <c r="I18" s="38">
        <f>(-1)*(B10^2)*C46</f>
        <v>180000.00000000006</v>
      </c>
      <c r="J18" s="38">
        <f>(-1)*(B10^2)*C47</f>
        <v>-311769.14536239789</v>
      </c>
      <c r="K18" s="36"/>
      <c r="L18" s="53" t="s">
        <v>61</v>
      </c>
      <c r="M18" s="53"/>
      <c r="N18" s="38">
        <f>(-1)*(B11^2)*C49</f>
        <v>0</v>
      </c>
      <c r="O18" s="38">
        <f>(-1)*(B11^2)*C50</f>
        <v>0</v>
      </c>
      <c r="P18" s="36"/>
      <c r="Q18" s="53" t="s">
        <v>61</v>
      </c>
      <c r="R18" s="53"/>
      <c r="S18" s="38">
        <f>(-1)*(B10^2)*C52</f>
        <v>-17172.809583889044</v>
      </c>
      <c r="T18" s="41">
        <f>(-1)*(B10^2)*C53</f>
        <v>88346.446510289767</v>
      </c>
      <c r="X18" s="52" t="str">
        <f>Q22</f>
        <v>acm</v>
      </c>
      <c r="Y18" s="50"/>
      <c r="Z18">
        <f>S22</f>
        <v>272947.94150522002</v>
      </c>
      <c r="AA18">
        <f>T22</f>
        <v>-366489.0605184912</v>
      </c>
      <c r="AB18" s="3" t="s">
        <v>77</v>
      </c>
    </row>
    <row r="19" spans="1:29" ht="15.6" x14ac:dyDescent="0.3">
      <c r="A19" s="47" t="s">
        <v>24</v>
      </c>
      <c r="B19" s="48">
        <v>0</v>
      </c>
      <c r="C19" s="48" t="s">
        <v>20</v>
      </c>
      <c r="D19" s="10"/>
      <c r="G19" s="42"/>
      <c r="H19" s="36"/>
      <c r="I19" s="37"/>
      <c r="J19" s="37"/>
      <c r="K19" s="36"/>
      <c r="L19" s="36"/>
      <c r="M19" s="36"/>
      <c r="N19" s="37"/>
      <c r="O19" s="37"/>
      <c r="P19" s="36"/>
      <c r="Q19" s="36"/>
      <c r="R19" s="36"/>
      <c r="S19" s="37"/>
      <c r="T19" s="40"/>
      <c r="X19" s="4"/>
      <c r="AB19" s="10"/>
    </row>
    <row r="20" spans="1:29" ht="15.6" x14ac:dyDescent="0.3">
      <c r="A20" s="47" t="s">
        <v>25</v>
      </c>
      <c r="B20" s="48">
        <v>150</v>
      </c>
      <c r="C20" s="48" t="s">
        <v>20</v>
      </c>
      <c r="D20" s="10"/>
      <c r="G20" s="58" t="s">
        <v>62</v>
      </c>
      <c r="H20" s="53"/>
      <c r="I20" s="38">
        <f>B9*C47*(-1)</f>
        <v>17320.508075688773</v>
      </c>
      <c r="J20" s="38">
        <f>B9*C46</f>
        <v>10000.000000000004</v>
      </c>
      <c r="K20" s="36"/>
      <c r="L20" s="53" t="s">
        <v>62</v>
      </c>
      <c r="M20" s="53"/>
      <c r="N20" s="38">
        <f>B8*C50*(-1)</f>
        <v>0</v>
      </c>
      <c r="O20" s="38">
        <f>B8*C49</f>
        <v>0</v>
      </c>
      <c r="P20" s="36"/>
      <c r="Q20" s="53" t="s">
        <v>62</v>
      </c>
      <c r="R20" s="53"/>
      <c r="S20" s="38">
        <f>B7*C53*(-1)</f>
        <v>-4908.13591723832</v>
      </c>
      <c r="T20" s="41">
        <f>B7*C52</f>
        <v>-954.04497688272465</v>
      </c>
      <c r="X20" s="52">
        <f>I49</f>
        <v>0</v>
      </c>
      <c r="Y20" s="50"/>
      <c r="Z20" s="13">
        <f t="shared" ref="Z20:AA22" si="1">J37</f>
        <v>-1183.9230484541329</v>
      </c>
      <c r="AA20">
        <f t="shared" si="1"/>
        <v>1810.6148721743873</v>
      </c>
      <c r="AB20" s="3" t="s">
        <v>78</v>
      </c>
    </row>
    <row r="21" spans="1:29" ht="15.6" x14ac:dyDescent="0.3">
      <c r="A21" s="47" t="s">
        <v>26</v>
      </c>
      <c r="B21" s="48">
        <v>100</v>
      </c>
      <c r="C21" s="48" t="s">
        <v>20</v>
      </c>
      <c r="D21" s="10"/>
      <c r="G21" s="42"/>
      <c r="H21" s="36"/>
      <c r="I21" s="37"/>
      <c r="J21" s="37"/>
      <c r="K21" s="36"/>
      <c r="L21" s="36"/>
      <c r="M21" s="36"/>
      <c r="N21" s="37"/>
      <c r="O21" s="37"/>
      <c r="P21" s="36"/>
      <c r="Q21" s="36"/>
      <c r="R21" s="36"/>
      <c r="S21" s="37"/>
      <c r="T21" s="40"/>
      <c r="X21" s="52">
        <f>I51</f>
        <v>0</v>
      </c>
      <c r="Y21" s="50"/>
      <c r="Z21">
        <f t="shared" si="1"/>
        <v>-1012.2542064282836</v>
      </c>
      <c r="AA21">
        <f t="shared" si="1"/>
        <v>1548.0757157091014</v>
      </c>
      <c r="AB21" s="3" t="s">
        <v>78</v>
      </c>
    </row>
    <row r="22" spans="1:29" ht="16.2" thickBot="1" x14ac:dyDescent="0.35">
      <c r="A22" s="47" t="s">
        <v>27</v>
      </c>
      <c r="B22" s="48">
        <v>120</v>
      </c>
      <c r="C22" s="48" t="s">
        <v>20</v>
      </c>
      <c r="D22" s="10"/>
      <c r="G22" s="59" t="s">
        <v>63</v>
      </c>
      <c r="H22" s="60"/>
      <c r="I22" s="44">
        <f>I18+I20</f>
        <v>197320.50807568882</v>
      </c>
      <c r="J22" s="44">
        <f>J18+J20</f>
        <v>-301769.14536239789</v>
      </c>
      <c r="K22" s="45"/>
      <c r="L22" s="60" t="s">
        <v>63</v>
      </c>
      <c r="M22" s="60"/>
      <c r="N22" s="44">
        <f>N18+N20+I10</f>
        <v>295980.76211353322</v>
      </c>
      <c r="O22" s="44">
        <f>O18+O20+J10</f>
        <v>-452653.71804359689</v>
      </c>
      <c r="P22" s="45"/>
      <c r="Q22" s="60" t="s">
        <v>63</v>
      </c>
      <c r="R22" s="60"/>
      <c r="S22" s="44">
        <f>S18+S20+N10</f>
        <v>272947.94150522002</v>
      </c>
      <c r="T22" s="46">
        <f>T18+T20+O10</f>
        <v>-366489.0605184912</v>
      </c>
      <c r="X22" s="52">
        <f>I53</f>
        <v>0</v>
      </c>
      <c r="Y22" s="50"/>
      <c r="Z22">
        <f t="shared" si="1"/>
        <v>-232.00575027943702</v>
      </c>
      <c r="AA22">
        <f t="shared" si="1"/>
        <v>311.51570144071752</v>
      </c>
      <c r="AB22" s="3" t="s">
        <v>78</v>
      </c>
    </row>
    <row r="23" spans="1:29" ht="15.6" x14ac:dyDescent="0.3">
      <c r="A23" s="47" t="s">
        <v>28</v>
      </c>
      <c r="B23" s="48">
        <v>95</v>
      </c>
      <c r="C23" s="48" t="s">
        <v>20</v>
      </c>
      <c r="D23" s="10"/>
      <c r="X23" s="52">
        <f>I56</f>
        <v>0</v>
      </c>
      <c r="Y23" s="50"/>
      <c r="Z23" s="50">
        <f>J56</f>
        <v>0</v>
      </c>
      <c r="AA23" s="50"/>
      <c r="AB23" s="3" t="s">
        <v>79</v>
      </c>
    </row>
    <row r="24" spans="1:29" ht="16.2" thickBot="1" x14ac:dyDescent="0.35">
      <c r="A24" s="47" t="s">
        <v>29</v>
      </c>
      <c r="B24" s="48">
        <v>85</v>
      </c>
      <c r="C24" s="48" t="s">
        <v>20</v>
      </c>
      <c r="D24" s="10"/>
      <c r="X24" s="52">
        <f>L56</f>
        <v>0</v>
      </c>
      <c r="Y24" s="50"/>
      <c r="Z24" s="50">
        <f>M56</f>
        <v>0</v>
      </c>
      <c r="AA24" s="50"/>
      <c r="AB24" s="3" t="s">
        <v>79</v>
      </c>
    </row>
    <row r="25" spans="1:29" ht="16.2" thickBot="1" x14ac:dyDescent="0.35">
      <c r="A25" s="47" t="s">
        <v>30</v>
      </c>
      <c r="B25" s="48">
        <v>80</v>
      </c>
      <c r="C25" s="48" t="s">
        <v>20</v>
      </c>
      <c r="D25" s="28"/>
      <c r="G25" s="18" t="s">
        <v>80</v>
      </c>
      <c r="H25" s="19"/>
      <c r="I25" s="19"/>
      <c r="J25" s="19"/>
      <c r="K25" s="9"/>
      <c r="X25" s="55">
        <f>O56</f>
        <v>0</v>
      </c>
      <c r="Y25" s="51"/>
      <c r="Z25" s="51">
        <f>P56</f>
        <v>0</v>
      </c>
      <c r="AA25" s="51"/>
      <c r="AB25" s="11" t="s">
        <v>79</v>
      </c>
    </row>
    <row r="26" spans="1:29" ht="15" thickBot="1" x14ac:dyDescent="0.35">
      <c r="G26" s="4"/>
      <c r="K26" s="10"/>
    </row>
    <row r="27" spans="1:29" ht="15.6" x14ac:dyDescent="0.3">
      <c r="A27" s="34" t="s">
        <v>95</v>
      </c>
      <c r="B27" s="19"/>
      <c r="C27" s="19"/>
      <c r="D27" s="9"/>
      <c r="G27" s="4"/>
      <c r="I27" s="1" t="s">
        <v>81</v>
      </c>
      <c r="J27" s="1" t="s">
        <v>82</v>
      </c>
      <c r="K27" s="20" t="s">
        <v>83</v>
      </c>
      <c r="L27" s="1"/>
      <c r="M27" s="1"/>
    </row>
    <row r="28" spans="1:29" x14ac:dyDescent="0.3">
      <c r="A28" s="4"/>
      <c r="D28" s="10"/>
      <c r="G28" s="4"/>
      <c r="I28" s="1">
        <f>((B3)*((B16)/1000)^2)/12</f>
        <v>0.18000000000000002</v>
      </c>
      <c r="J28" s="1">
        <f>((B4)*((B18/1000))^2)/12</f>
        <v>1.2568499999999998E-2</v>
      </c>
      <c r="K28" s="20">
        <f>((B5)*((B20/1000)^2))/12</f>
        <v>1.5937499999999999E-3</v>
      </c>
    </row>
    <row r="29" spans="1:29" ht="15.6" x14ac:dyDescent="0.3">
      <c r="A29" s="4"/>
      <c r="B29" s="31" t="s">
        <v>32</v>
      </c>
      <c r="C29" s="12">
        <f>SIN(D13)</f>
        <v>0.8660254037844386</v>
      </c>
      <c r="D29" s="10"/>
      <c r="G29" s="4"/>
      <c r="K29" s="10"/>
    </row>
    <row r="30" spans="1:29" ht="15.6" x14ac:dyDescent="0.3">
      <c r="A30" s="4"/>
      <c r="B30" s="31" t="s">
        <v>33</v>
      </c>
      <c r="C30" s="12">
        <f>COS(D13)</f>
        <v>0.50000000000000011</v>
      </c>
      <c r="D30" s="10"/>
      <c r="G30" s="21" t="s">
        <v>87</v>
      </c>
      <c r="K30" s="10"/>
    </row>
    <row r="31" spans="1:29" ht="15.6" x14ac:dyDescent="0.3">
      <c r="A31" s="4"/>
      <c r="B31" s="31" t="s">
        <v>34</v>
      </c>
      <c r="C31" s="12">
        <f>SIN(D14)</f>
        <v>0.76604444311897801</v>
      </c>
      <c r="D31" s="10"/>
      <c r="G31" s="4"/>
      <c r="K31" s="10"/>
    </row>
    <row r="32" spans="1:29" ht="15.6" x14ac:dyDescent="0.3">
      <c r="A32" s="4"/>
      <c r="B32" s="31" t="s">
        <v>35</v>
      </c>
      <c r="C32" s="12">
        <f>COS(D14)</f>
        <v>0.64278760968653936</v>
      </c>
      <c r="D32" s="10"/>
      <c r="G32" s="4"/>
      <c r="I32" s="1" t="s">
        <v>84</v>
      </c>
      <c r="J32" s="1" t="s">
        <v>85</v>
      </c>
      <c r="K32" s="20" t="s">
        <v>86</v>
      </c>
      <c r="AC32" s="6"/>
    </row>
    <row r="33" spans="1:29" ht="15.6" x14ac:dyDescent="0.3">
      <c r="A33" s="4"/>
      <c r="B33" s="31" t="s">
        <v>36</v>
      </c>
      <c r="C33" s="12">
        <f>SIN(D15)</f>
        <v>0.98162718344766398</v>
      </c>
      <c r="D33" s="10"/>
      <c r="G33" s="4"/>
      <c r="I33" s="1">
        <f>-I28*I22</f>
        <v>-35517.691453623993</v>
      </c>
      <c r="J33" s="1">
        <f>-J28*N22</f>
        <v>-3720.0342086239416</v>
      </c>
      <c r="K33" s="20">
        <f>-K28*S22</f>
        <v>-435.01078177394436</v>
      </c>
      <c r="M33" s="1"/>
      <c r="AC33" s="6"/>
    </row>
    <row r="34" spans="1:29" ht="16.2" thickBot="1" x14ac:dyDescent="0.35">
      <c r="A34" s="24"/>
      <c r="B34" s="32" t="s">
        <v>37</v>
      </c>
      <c r="C34" s="33">
        <f>COS(D15)</f>
        <v>0.19080899537654492</v>
      </c>
      <c r="D34" s="28"/>
      <c r="G34" s="4"/>
      <c r="K34" s="10"/>
      <c r="AC34" s="6"/>
    </row>
    <row r="35" spans="1:29" ht="16.2" thickBot="1" x14ac:dyDescent="0.35">
      <c r="C35" s="12"/>
      <c r="G35" s="21" t="s">
        <v>88</v>
      </c>
      <c r="K35" s="10"/>
      <c r="AC35" s="6"/>
    </row>
    <row r="36" spans="1:29" ht="15.6" x14ac:dyDescent="0.3">
      <c r="A36" s="35" t="s">
        <v>96</v>
      </c>
      <c r="B36" s="19"/>
      <c r="C36" s="19"/>
      <c r="D36" s="9"/>
      <c r="G36" s="4"/>
      <c r="I36" s="2" t="s">
        <v>89</v>
      </c>
      <c r="J36" s="2" t="s">
        <v>91</v>
      </c>
      <c r="K36" s="3" t="s">
        <v>90</v>
      </c>
      <c r="L36" s="2"/>
      <c r="N36" s="2"/>
      <c r="AC36" s="6"/>
    </row>
    <row r="37" spans="1:29" ht="15.6" x14ac:dyDescent="0.3">
      <c r="A37" s="4"/>
      <c r="B37" s="31" t="s">
        <v>38</v>
      </c>
      <c r="C37" s="12">
        <f>B16*C30*(-1)</f>
        <v>-300.00000000000006</v>
      </c>
      <c r="D37" s="10"/>
      <c r="G37" s="4"/>
      <c r="I37" s="1">
        <v>1</v>
      </c>
      <c r="J37" s="22">
        <f>-(B3*I22)*(1/1000)</f>
        <v>-1183.9230484541329</v>
      </c>
      <c r="K37" s="23">
        <f>-(B3*J22)*(1/1000)</f>
        <v>1810.6148721743873</v>
      </c>
      <c r="L37" s="7"/>
      <c r="AC37" s="6"/>
    </row>
    <row r="38" spans="1:29" ht="15.6" x14ac:dyDescent="0.3">
      <c r="A38" s="4"/>
      <c r="B38" s="31" t="s">
        <v>39</v>
      </c>
      <c r="C38" s="12">
        <f>B16*C29</f>
        <v>519.6152422706632</v>
      </c>
      <c r="D38" s="10"/>
      <c r="G38" s="4"/>
      <c r="I38" s="1">
        <v>2</v>
      </c>
      <c r="J38" s="1">
        <f>-(B4*N22)*(1/1000)</f>
        <v>-1012.2542064282836</v>
      </c>
      <c r="K38" s="20">
        <f>-(B4*O22)*(1/1000)</f>
        <v>1548.0757157091014</v>
      </c>
      <c r="L38" s="1"/>
      <c r="AC38" s="6"/>
    </row>
    <row r="39" spans="1:29" ht="15.6" x14ac:dyDescent="0.3">
      <c r="A39" s="4"/>
      <c r="C39" s="12"/>
      <c r="D39" s="10"/>
      <c r="G39" s="4"/>
      <c r="I39" s="1">
        <v>3</v>
      </c>
      <c r="J39" s="1">
        <f>-(B5*S22)*(1/1000)</f>
        <v>-232.00575027943702</v>
      </c>
      <c r="K39" s="20">
        <f>-(B5*T22)*(1/1000)</f>
        <v>311.51570144071752</v>
      </c>
      <c r="L39" s="1"/>
      <c r="AC39" s="6"/>
    </row>
    <row r="40" spans="1:29" ht="15.6" x14ac:dyDescent="0.3">
      <c r="A40" s="4"/>
      <c r="B40" s="31" t="s">
        <v>40</v>
      </c>
      <c r="C40" s="12">
        <f>B17*C32</f>
        <v>257.11504387461576</v>
      </c>
      <c r="D40" s="10"/>
      <c r="G40" s="21" t="s">
        <v>92</v>
      </c>
      <c r="K40" s="10"/>
      <c r="AC40" s="6"/>
    </row>
    <row r="41" spans="1:29" ht="15.6" x14ac:dyDescent="0.3">
      <c r="A41" s="4"/>
      <c r="B41" s="31" t="s">
        <v>41</v>
      </c>
      <c r="C41" s="12">
        <f>B17*C31</f>
        <v>306.41777724759123</v>
      </c>
      <c r="D41" s="10"/>
      <c r="G41" s="4"/>
      <c r="J41" s="2" t="s">
        <v>91</v>
      </c>
      <c r="K41" s="3" t="s">
        <v>90</v>
      </c>
      <c r="L41" s="2"/>
      <c r="AC41" s="6"/>
    </row>
    <row r="42" spans="1:29" ht="16.2" thickBot="1" x14ac:dyDescent="0.35">
      <c r="A42" s="4"/>
      <c r="C42" s="12"/>
      <c r="D42" s="10"/>
      <c r="G42" s="24"/>
      <c r="H42" s="25"/>
      <c r="I42" s="25"/>
      <c r="J42" s="26">
        <f>-B2*S10/1000</f>
        <v>0</v>
      </c>
      <c r="K42" s="27">
        <f>-T10*B2/1000</f>
        <v>0</v>
      </c>
      <c r="L42" s="1"/>
      <c r="AC42" s="6"/>
    </row>
    <row r="43" spans="1:29" ht="15.6" x14ac:dyDescent="0.3">
      <c r="A43" s="4"/>
      <c r="B43" s="31" t="s">
        <v>42</v>
      </c>
      <c r="C43" s="12">
        <f>B18*C34</f>
        <v>40.069889029074432</v>
      </c>
      <c r="D43" s="10"/>
      <c r="I43" s="16"/>
      <c r="J43" s="14"/>
      <c r="L43" s="16"/>
      <c r="M43" s="14"/>
      <c r="O43" s="16"/>
      <c r="P43" s="17"/>
      <c r="AC43" s="6"/>
    </row>
    <row r="44" spans="1:29" ht="15.6" x14ac:dyDescent="0.3">
      <c r="A44" s="4"/>
      <c r="B44" s="31" t="s">
        <v>43</v>
      </c>
      <c r="C44" s="12">
        <f>B18*C33*(-1)</f>
        <v>-206.14170852400943</v>
      </c>
      <c r="D44" s="10"/>
      <c r="I44" s="16"/>
      <c r="J44" s="14"/>
      <c r="L44" s="16"/>
      <c r="M44" s="14"/>
      <c r="O44" s="16"/>
      <c r="P44" s="17"/>
      <c r="AC44" s="6"/>
    </row>
    <row r="45" spans="1:29" ht="15.6" x14ac:dyDescent="0.3">
      <c r="A45" s="4"/>
      <c r="C45" s="12"/>
      <c r="D45" s="10"/>
      <c r="I45" s="16"/>
      <c r="J45" s="14"/>
      <c r="L45" s="16"/>
      <c r="M45" s="14"/>
      <c r="O45" s="16"/>
      <c r="P45" s="17"/>
      <c r="AC45" s="6"/>
    </row>
    <row r="46" spans="1:29" ht="15.6" x14ac:dyDescent="0.3">
      <c r="A46" s="4"/>
      <c r="B46" s="31" t="s">
        <v>64</v>
      </c>
      <c r="C46" s="12">
        <f>B17*C30*(-1)</f>
        <v>-200.00000000000006</v>
      </c>
      <c r="D46" s="10"/>
      <c r="AC46" s="6"/>
    </row>
    <row r="47" spans="1:29" ht="15.6" x14ac:dyDescent="0.3">
      <c r="A47" s="4"/>
      <c r="B47" s="31" t="s">
        <v>65</v>
      </c>
      <c r="C47" s="12">
        <f>B17*C29</f>
        <v>346.41016151377545</v>
      </c>
      <c r="D47" s="10"/>
      <c r="I47" s="16"/>
      <c r="J47" s="14"/>
      <c r="L47" s="16"/>
      <c r="M47" s="14"/>
      <c r="O47" s="16"/>
      <c r="P47" s="17"/>
      <c r="AC47" s="6"/>
    </row>
    <row r="48" spans="1:29" ht="15.6" x14ac:dyDescent="0.3">
      <c r="A48" s="4"/>
      <c r="C48" s="12"/>
      <c r="D48" s="10"/>
      <c r="AC48" s="6"/>
    </row>
    <row r="49" spans="1:29" ht="15.6" x14ac:dyDescent="0.3">
      <c r="A49" s="4"/>
      <c r="B49" s="31" t="s">
        <v>68</v>
      </c>
      <c r="C49" s="12">
        <f>B19*C32</f>
        <v>0</v>
      </c>
      <c r="D49" s="10"/>
      <c r="I49" s="16"/>
      <c r="J49" s="14"/>
      <c r="L49" s="16"/>
      <c r="M49" s="14"/>
      <c r="O49" s="16"/>
      <c r="P49" s="17"/>
      <c r="AC49" s="6"/>
    </row>
    <row r="50" spans="1:29" ht="15.6" x14ac:dyDescent="0.3">
      <c r="A50" s="4"/>
      <c r="B50" s="31" t="s">
        <v>69</v>
      </c>
      <c r="C50" s="12">
        <f>B19*C31</f>
        <v>0</v>
      </c>
      <c r="D50" s="10"/>
      <c r="AC50" s="6"/>
    </row>
    <row r="51" spans="1:29" ht="15.6" x14ac:dyDescent="0.3">
      <c r="A51" s="4"/>
      <c r="C51" s="12"/>
      <c r="D51" s="10"/>
      <c r="I51" s="16"/>
      <c r="J51" s="14"/>
      <c r="L51" s="16"/>
      <c r="M51" s="14"/>
      <c r="O51" s="16"/>
      <c r="P51" s="17"/>
      <c r="AC51" s="6"/>
    </row>
    <row r="52" spans="1:29" ht="15.6" x14ac:dyDescent="0.3">
      <c r="A52" s="4"/>
      <c r="B52" s="31" t="s">
        <v>70</v>
      </c>
      <c r="C52" s="12">
        <f>B21*C34</f>
        <v>19.080899537654492</v>
      </c>
      <c r="D52" s="10"/>
      <c r="AC52" s="6"/>
    </row>
    <row r="53" spans="1:29" ht="16.2" thickBot="1" x14ac:dyDescent="0.35">
      <c r="A53" s="24"/>
      <c r="B53" s="32" t="s">
        <v>71</v>
      </c>
      <c r="C53" s="33">
        <f>B21*C33*(-1)</f>
        <v>-98.162718344766404</v>
      </c>
      <c r="D53" s="28"/>
      <c r="I53" s="16"/>
      <c r="J53" s="14"/>
      <c r="L53" s="16"/>
      <c r="M53" s="14"/>
      <c r="O53" s="16"/>
      <c r="P53" s="17"/>
      <c r="AC53" s="6"/>
    </row>
    <row r="54" spans="1:29" ht="15.6" x14ac:dyDescent="0.3">
      <c r="AC54" s="6"/>
    </row>
    <row r="55" spans="1:29" ht="15.6" x14ac:dyDescent="0.3">
      <c r="I55" s="16"/>
      <c r="J55" s="14"/>
      <c r="L55" s="16"/>
      <c r="M55" s="14"/>
      <c r="O55" s="16"/>
      <c r="P55" s="17"/>
      <c r="AC55" s="5"/>
    </row>
    <row r="57" spans="1:29" x14ac:dyDescent="0.3">
      <c r="I57" s="16"/>
      <c r="J57" s="15"/>
      <c r="L57" s="16"/>
      <c r="M57" s="15"/>
      <c r="O57" s="16"/>
      <c r="P57" s="14"/>
      <c r="S57" s="2"/>
    </row>
    <row r="58" spans="1:29" x14ac:dyDescent="0.3">
      <c r="I58" s="16"/>
      <c r="J58" s="15"/>
      <c r="L58" s="16"/>
      <c r="M58" s="15"/>
      <c r="O58" s="16"/>
      <c r="P58" s="14"/>
      <c r="S58" s="2"/>
    </row>
  </sheetData>
  <mergeCells count="64">
    <mergeCell ref="X6:Y6"/>
    <mergeCell ref="X8:Y8"/>
    <mergeCell ref="X9:Y9"/>
    <mergeCell ref="X11:Y11"/>
    <mergeCell ref="X12:Y12"/>
    <mergeCell ref="X2:Y2"/>
    <mergeCell ref="X3:Y3"/>
    <mergeCell ref="X5:Y5"/>
    <mergeCell ref="X1:Y1"/>
    <mergeCell ref="G20:H20"/>
    <mergeCell ref="G10:H10"/>
    <mergeCell ref="Q13:T13"/>
    <mergeCell ref="L13:O13"/>
    <mergeCell ref="L1:O1"/>
    <mergeCell ref="G1:J1"/>
    <mergeCell ref="Q1:T1"/>
    <mergeCell ref="Q2:R3"/>
    <mergeCell ref="S2:T2"/>
    <mergeCell ref="L2:M3"/>
    <mergeCell ref="N2:O2"/>
    <mergeCell ref="I2:J2"/>
    <mergeCell ref="G22:H22"/>
    <mergeCell ref="L20:M20"/>
    <mergeCell ref="L22:M22"/>
    <mergeCell ref="Q22:R22"/>
    <mergeCell ref="Q4:R4"/>
    <mergeCell ref="Q6:R6"/>
    <mergeCell ref="Q8:R8"/>
    <mergeCell ref="Q10:R10"/>
    <mergeCell ref="G13:J13"/>
    <mergeCell ref="L10:M10"/>
    <mergeCell ref="L4:M4"/>
    <mergeCell ref="L6:M6"/>
    <mergeCell ref="L8:M8"/>
    <mergeCell ref="G4:H4"/>
    <mergeCell ref="G6:H6"/>
    <mergeCell ref="G8:H8"/>
    <mergeCell ref="G2:H3"/>
    <mergeCell ref="Q14:R15"/>
    <mergeCell ref="S14:T14"/>
    <mergeCell ref="Q16:R16"/>
    <mergeCell ref="Q18:R18"/>
    <mergeCell ref="I14:J14"/>
    <mergeCell ref="G16:H16"/>
    <mergeCell ref="G14:H15"/>
    <mergeCell ref="L18:M18"/>
    <mergeCell ref="G18:H18"/>
    <mergeCell ref="Q20:R20"/>
    <mergeCell ref="N14:O14"/>
    <mergeCell ref="L16:M16"/>
    <mergeCell ref="L14:M15"/>
    <mergeCell ref="X25:Y25"/>
    <mergeCell ref="X14:Y14"/>
    <mergeCell ref="X15:Y15"/>
    <mergeCell ref="X17:Y17"/>
    <mergeCell ref="X18:Y18"/>
    <mergeCell ref="Z23:AA23"/>
    <mergeCell ref="Z24:AA24"/>
    <mergeCell ref="Z25:AA25"/>
    <mergeCell ref="X20:Y20"/>
    <mergeCell ref="X21:Y21"/>
    <mergeCell ref="X22:Y22"/>
    <mergeCell ref="X23:Y23"/>
    <mergeCell ref="X24:Y24"/>
  </mergeCells>
  <pageMargins left="1" right="1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44FE-5CEE-4F55-B70D-C7710D3BBE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Hoja2</vt:lpstr>
      <vt:lpstr>Sheet1</vt:lpstr>
      <vt:lpstr>Hoja2!_Hlk10103739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Agustin Richard</cp:lastModifiedBy>
  <cp:lastPrinted>2023-04-13T20:14:41Z</cp:lastPrinted>
  <dcterms:created xsi:type="dcterms:W3CDTF">2022-03-10T02:04:36Z</dcterms:created>
  <dcterms:modified xsi:type="dcterms:W3CDTF">2025-10-07T20:01:48Z</dcterms:modified>
</cp:coreProperties>
</file>